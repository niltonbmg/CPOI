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3880" yWindow="-120" windowWidth="20730" windowHeight="11040" tabRatio="600" firstSheet="0" activeTab="0" autoFilterDateGrouping="1"/>
  </bookViews>
  <sheets>
    <sheet xmlns:r="http://schemas.openxmlformats.org/officeDocument/2006/relationships" name="Planilh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R$&quot;\ #,##0.00;[Red]\-&quot;R$&quot;\ #,##0.00"/>
  </numFmts>
  <fonts count="5"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b val="1"/>
      <sz val="10"/>
    </font>
    <font>
      <name val="Times New Roman"/>
      <family val="1"/>
      <color theme="1"/>
      <sz val="10"/>
    </font>
    <font>
      <name val="Calibri"/>
      <family val="2"/>
      <color rgb="FF000000"/>
      <sz val="11"/>
    </font>
  </fonts>
  <fills count="5">
    <fill>
      <patternFill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3">
    <xf numFmtId="0" fontId="0" fillId="0" borderId="0"/>
    <xf numFmtId="0" fontId="1" fillId="0" borderId="0"/>
    <xf numFmtId="43" fontId="1" fillId="0" borderId="0"/>
  </cellStyleXfs>
  <cellXfs count="50">
    <xf numFmtId="0" fontId="0" fillId="0" borderId="0" pivotButton="0" quotePrefix="0" xfId="0"/>
    <xf numFmtId="20" fontId="1" fillId="0" borderId="1" applyAlignment="1" pivotButton="0" quotePrefix="0" xfId="0">
      <alignment horizontal="center"/>
    </xf>
    <xf numFmtId="20" fontId="0" fillId="0" borderId="2" applyAlignment="1" pivotButton="0" quotePrefix="0" xfId="0">
      <alignment horizontal="center"/>
    </xf>
    <xf numFmtId="20" fontId="0" fillId="0" borderId="3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2" fillId="0" borderId="3" applyAlignment="1" pivotButton="0" quotePrefix="0" xfId="0">
      <alignment horizontal="center"/>
    </xf>
    <xf numFmtId="0" fontId="2" fillId="0" borderId="4" applyAlignment="1" pivotButton="0" quotePrefix="0" xfId="0">
      <alignment horizontal="center" vertical="center" textRotation="90"/>
    </xf>
    <xf numFmtId="0" fontId="2" fillId="2" borderId="5" applyAlignment="1" pivotButton="0" quotePrefix="0" xfId="0">
      <alignment horizontal="center"/>
    </xf>
    <xf numFmtId="0" fontId="2" fillId="0" borderId="6" applyAlignment="1" pivotButton="0" quotePrefix="0" xfId="0">
      <alignment horizontal="center" vertical="center" textRotation="90"/>
    </xf>
    <xf numFmtId="0" fontId="0" fillId="3" borderId="7" pivotButton="0" quotePrefix="0" xfId="0"/>
    <xf numFmtId="0" fontId="1" fillId="4" borderId="8" pivotButton="0" quotePrefix="0" xfId="1"/>
    <xf numFmtId="0" fontId="0" fillId="0" borderId="9" applyAlignment="1" pivotButton="0" quotePrefix="0" xfId="0">
      <alignment horizontal="center" vertical="center" wrapText="1"/>
    </xf>
    <xf numFmtId="0" fontId="1" fillId="4" borderId="8" applyAlignment="1" pivotButton="0" quotePrefix="0" xfId="2">
      <alignment horizontal="center"/>
    </xf>
    <xf numFmtId="4" fontId="0" fillId="4" borderId="7" applyAlignment="1" pivotButton="0" quotePrefix="0" xfId="0">
      <alignment horizontal="center"/>
    </xf>
    <xf numFmtId="0" fontId="0" fillId="4" borderId="10" applyAlignment="1" pivotButton="0" quotePrefix="0" xfId="0">
      <alignment horizontal="center"/>
    </xf>
    <xf numFmtId="4" fontId="0" fillId="4" borderId="11" applyAlignment="1" pivotButton="0" quotePrefix="0" xfId="0">
      <alignment horizontal="center"/>
    </xf>
    <xf numFmtId="4" fontId="0" fillId="4" borderId="12" applyAlignment="1" pivotButton="0" quotePrefix="0" xfId="0">
      <alignment horizontal="center"/>
    </xf>
    <xf numFmtId="0" fontId="0" fillId="3" borderId="13" pivotButton="0" quotePrefix="0" xfId="0"/>
    <xf numFmtId="0" fontId="1" fillId="4" borderId="14" pivotButton="0" quotePrefix="0" xfId="1"/>
    <xf numFmtId="2" fontId="0" fillId="0" borderId="9" applyAlignment="1" pivotButton="0" quotePrefix="0" xfId="0">
      <alignment horizontal="center" vertical="center" wrapText="1"/>
    </xf>
    <xf numFmtId="4" fontId="0" fillId="4" borderId="13" applyAlignment="1" pivotButton="0" quotePrefix="0" xfId="0">
      <alignment horizontal="center"/>
    </xf>
    <xf numFmtId="4" fontId="0" fillId="4" borderId="9" applyAlignment="1" pivotButton="0" quotePrefix="0" xfId="0">
      <alignment horizontal="center"/>
    </xf>
    <xf numFmtId="4" fontId="0" fillId="4" borderId="15" applyAlignment="1" pivotButton="0" quotePrefix="0" xfId="0">
      <alignment horizontal="center"/>
    </xf>
    <xf numFmtId="0" fontId="1" fillId="4" borderId="14" applyAlignment="1" pivotButton="0" quotePrefix="0" xfId="2">
      <alignment horizontal="center"/>
    </xf>
    <xf numFmtId="0" fontId="0" fillId="4" borderId="16" applyAlignment="1" pivotButton="0" quotePrefix="0" xfId="0">
      <alignment horizontal="center"/>
    </xf>
    <xf numFmtId="0" fontId="0" fillId="3" borderId="17" pivotButton="0" quotePrefix="0" xfId="0"/>
    <xf numFmtId="0" fontId="1" fillId="4" borderId="18" pivotButton="0" quotePrefix="0" xfId="1"/>
    <xf numFmtId="4" fontId="0" fillId="4" borderId="17" applyAlignment="1" pivotButton="0" quotePrefix="0" xfId="0">
      <alignment horizontal="center"/>
    </xf>
    <xf numFmtId="4" fontId="0" fillId="4" borderId="19" applyAlignment="1" pivotButton="0" quotePrefix="0" xfId="0">
      <alignment horizontal="center"/>
    </xf>
    <xf numFmtId="4" fontId="0" fillId="4" borderId="20" applyAlignment="1" pivotButton="0" quotePrefix="0" xfId="0">
      <alignment horizontal="center"/>
    </xf>
    <xf numFmtId="0" fontId="2" fillId="0" borderId="18" applyAlignment="1" pivotButton="0" quotePrefix="0" xfId="0">
      <alignment horizontal="center" vertical="center" textRotation="90"/>
    </xf>
    <xf numFmtId="0" fontId="2" fillId="3" borderId="2" pivotButton="0" quotePrefix="0" xfId="0"/>
    <xf numFmtId="0" fontId="2" fillId="4" borderId="5" pivotButton="0" quotePrefix="0" xfId="0"/>
    <xf numFmtId="0" fontId="2" fillId="4" borderId="5" applyAlignment="1" pivotButton="0" quotePrefix="0" xfId="0">
      <alignment horizontal="center"/>
    </xf>
    <xf numFmtId="4" fontId="2" fillId="4" borderId="5" applyAlignment="1" pivotButton="0" quotePrefix="0" xfId="0">
      <alignment horizontal="center"/>
    </xf>
    <xf numFmtId="4" fontId="2" fillId="4" borderId="3" applyAlignment="1" pivotButton="0" quotePrefix="0" xfId="0">
      <alignment horizontal="center"/>
    </xf>
    <xf numFmtId="0" fontId="3" fillId="0" borderId="0" applyAlignment="1" pivotButton="0" quotePrefix="0" xfId="0">
      <alignment horizontal="center" vertical="center" wrapText="1"/>
    </xf>
    <xf numFmtId="0" fontId="4" fillId="0" borderId="21" applyAlignment="1" pivotButton="0" quotePrefix="0" xfId="0">
      <alignment horizontal="center" vertical="center" wrapText="1"/>
    </xf>
    <xf numFmtId="0" fontId="4" fillId="0" borderId="22" applyAlignment="1" pivotButton="0" quotePrefix="0" xfId="0">
      <alignment horizontal="center" vertical="center" wrapText="1"/>
    </xf>
    <xf numFmtId="0" fontId="4" fillId="0" borderId="23" applyAlignment="1" pivotButton="0" quotePrefix="0" xfId="0">
      <alignment horizontal="center" vertical="center" wrapText="1"/>
    </xf>
    <xf numFmtId="164" fontId="4" fillId="0" borderId="24" applyAlignment="1" pivotButton="0" quotePrefix="0" xfId="0">
      <alignment horizontal="center" vertical="center" wrapText="1"/>
    </xf>
    <xf numFmtId="20" fontId="1" fillId="0" borderId="5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0" fontId="2" fillId="0" borderId="5" applyAlignment="1" pivotButton="0" quotePrefix="0" xfId="0">
      <alignment horizontal="center"/>
    </xf>
    <xf numFmtId="0" fontId="2" fillId="0" borderId="5" applyAlignment="1" pivotButton="0" quotePrefix="0" xfId="0">
      <alignment horizontal="center" vertical="center" textRotation="90"/>
    </xf>
    <xf numFmtId="0" fontId="0" fillId="0" borderId="6" pivotButton="0" quotePrefix="0" xfId="0"/>
    <xf numFmtId="0" fontId="0" fillId="0" borderId="18" pivotButton="0" quotePrefix="0" xfId="0"/>
    <xf numFmtId="164" fontId="4" fillId="0" borderId="24" applyAlignment="1" pivotButton="0" quotePrefix="0" xfId="0">
      <alignment horizontal="center" vertical="center" wrapText="1"/>
    </xf>
  </cellXfs>
  <cellStyles count="3">
    <cellStyle name="Normal" xfId="0" builtinId="0"/>
    <cellStyle name="Normal_Plan1" xfId="1"/>
    <cellStyle name="Separador de milhares_Plan1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J56"/>
  <sheetViews>
    <sheetView tabSelected="1" topLeftCell="A34" workbookViewId="0">
      <selection activeCell="O8" sqref="O8"/>
    </sheetView>
  </sheetViews>
  <sheetFormatPr baseColWidth="8" defaultRowHeight="15"/>
  <cols>
    <col width="25" customWidth="1" min="2" max="2"/>
    <col width="20.7109375" customWidth="1" min="3" max="3"/>
  </cols>
  <sheetData>
    <row r="1" ht="15.75" customHeight="1" thickBot="1"/>
    <row r="2" ht="15.75" customHeight="1" thickBot="1">
      <c r="A2" s="42" t="inlineStr">
        <is>
          <t>TURNO: 14H ÀS 22H</t>
        </is>
      </c>
      <c r="B2" s="43" t="n"/>
      <c r="C2" s="44" t="n"/>
      <c r="D2" s="45" t="inlineStr">
        <is>
          <t>NOVEMBRO</t>
        </is>
      </c>
      <c r="E2" s="43" t="n"/>
      <c r="F2" s="43" t="n"/>
      <c r="G2" s="43" t="n"/>
      <c r="H2" s="43" t="n"/>
      <c r="I2" s="43" t="n"/>
      <c r="J2" s="44" t="n"/>
    </row>
    <row r="3" ht="15.75" customHeight="1" thickBot="1">
      <c r="A3" s="46" t="inlineStr">
        <is>
          <t>PROJEÇÃO DE CUSTO</t>
        </is>
      </c>
      <c r="B3" s="8" t="inlineStr">
        <is>
          <t>POST/GRAD</t>
        </is>
      </c>
      <c r="C3" s="8" t="inlineStr">
        <is>
          <t>EFETIVO</t>
        </is>
      </c>
      <c r="D3" s="8" t="inlineStr">
        <is>
          <t>VL - HE</t>
        </is>
      </c>
      <c r="E3" s="8" t="inlineStr">
        <is>
          <t>QUANT-HE</t>
        </is>
      </c>
      <c r="F3" s="8" t="inlineStr">
        <is>
          <t>VL/HE - R$</t>
        </is>
      </c>
      <c r="G3" s="8" t="inlineStr">
        <is>
          <t xml:space="preserve">VL - AN </t>
        </is>
      </c>
      <c r="H3" s="8" t="inlineStr">
        <is>
          <t xml:space="preserve">QUANT-AN </t>
        </is>
      </c>
      <c r="I3" s="8" t="inlineStr">
        <is>
          <t>VL/AN - R$</t>
        </is>
      </c>
      <c r="J3" s="8" t="inlineStr">
        <is>
          <t>TOTAL (R$)</t>
        </is>
      </c>
    </row>
    <row r="4" ht="15.75" customHeight="1" thickBot="1">
      <c r="A4" s="47" t="n"/>
      <c r="B4" s="10" t="inlineStr">
        <is>
          <t>CEL PM</t>
        </is>
      </c>
      <c r="C4" s="11" t="n"/>
      <c r="D4" s="12" t="n">
        <v>130.46</v>
      </c>
      <c r="E4" s="13" t="n">
        <v>8</v>
      </c>
      <c r="F4" s="14">
        <f>C4*D4*E4</f>
        <v/>
      </c>
      <c r="G4" s="12" t="n">
        <v>65.23</v>
      </c>
      <c r="H4" s="15" t="n">
        <v>0</v>
      </c>
      <c r="I4" s="16">
        <f>C4*G4*H4</f>
        <v/>
      </c>
      <c r="J4" s="17">
        <f>F4+I4</f>
        <v/>
      </c>
    </row>
    <row r="5" ht="15.75" customHeight="1" thickBot="1">
      <c r="A5" s="47" t="n"/>
      <c r="B5" s="18" t="inlineStr">
        <is>
          <t>TEN CEL PM</t>
        </is>
      </c>
      <c r="C5" s="19" t="n"/>
      <c r="D5" s="20" t="n">
        <v>118.7</v>
      </c>
      <c r="E5" s="13" t="n">
        <v>8</v>
      </c>
      <c r="F5" s="21">
        <f>C5*D5*E5</f>
        <v/>
      </c>
      <c r="G5" s="12" t="n">
        <v>59.35</v>
      </c>
      <c r="H5" s="15" t="n">
        <v>0</v>
      </c>
      <c r="I5" s="22">
        <f>C5*G5*H5</f>
        <v/>
      </c>
      <c r="J5" s="23">
        <f>F5+I5</f>
        <v/>
      </c>
    </row>
    <row r="6" ht="15.75" customHeight="1" thickBot="1">
      <c r="A6" s="47" t="n"/>
      <c r="B6" s="18" t="inlineStr">
        <is>
          <t>MAJ PM</t>
        </is>
      </c>
      <c r="C6" s="19" t="n"/>
      <c r="D6" s="12" t="n">
        <v>109.17</v>
      </c>
      <c r="E6" s="13" t="n">
        <v>8</v>
      </c>
      <c r="F6" s="21">
        <f>C6*D6*E6</f>
        <v/>
      </c>
      <c r="G6" s="12" t="n">
        <v>54.59</v>
      </c>
      <c r="H6" s="15" t="n">
        <v>0</v>
      </c>
      <c r="I6" s="22">
        <f>C6*G6*H6</f>
        <v/>
      </c>
      <c r="J6" s="23">
        <f>F6+I6</f>
        <v/>
      </c>
    </row>
    <row r="7" ht="15.75" customHeight="1" thickBot="1">
      <c r="A7" s="47" t="n"/>
      <c r="B7" s="18" t="inlineStr">
        <is>
          <t>CAP PM</t>
        </is>
      </c>
      <c r="C7" s="19" t="n"/>
      <c r="D7" s="12" t="n">
        <v>89.95</v>
      </c>
      <c r="E7" s="13" t="n">
        <v>8</v>
      </c>
      <c r="F7" s="21">
        <f>C7*D7*E7</f>
        <v/>
      </c>
      <c r="G7" s="12" t="n">
        <v>44.98</v>
      </c>
      <c r="H7" s="15" t="n">
        <v>0</v>
      </c>
      <c r="I7" s="22">
        <f>C7*G7*H7</f>
        <v/>
      </c>
      <c r="J7" s="23">
        <f>F7+I7</f>
        <v/>
      </c>
    </row>
    <row r="8">
      <c r="A8" s="47" t="n"/>
      <c r="B8" s="18" t="inlineStr">
        <is>
          <t>TEN PM</t>
        </is>
      </c>
      <c r="C8" s="19" t="n"/>
      <c r="D8" s="12" t="n">
        <v>75.36</v>
      </c>
      <c r="E8" s="13" t="n">
        <v>8</v>
      </c>
      <c r="F8" s="21">
        <f>C8*D8*E8</f>
        <v/>
      </c>
      <c r="G8" s="12" t="n">
        <v>37.68</v>
      </c>
      <c r="H8" s="15" t="n">
        <v>0</v>
      </c>
      <c r="I8" s="22">
        <f>C8*G8*H8</f>
        <v/>
      </c>
      <c r="J8" s="23">
        <f>F8+I8</f>
        <v/>
      </c>
    </row>
    <row r="9">
      <c r="A9" s="47" t="n"/>
      <c r="B9" s="18" t="inlineStr">
        <is>
          <t>ASP PM</t>
        </is>
      </c>
      <c r="C9" s="19" t="n"/>
      <c r="D9" s="12" t="n">
        <v>45.25</v>
      </c>
      <c r="E9" s="24" t="n">
        <v>8</v>
      </c>
      <c r="F9" s="21">
        <f>C9*D9*E9</f>
        <v/>
      </c>
      <c r="G9" s="12" t="n">
        <v>22.63</v>
      </c>
      <c r="H9" s="25" t="n">
        <v>0</v>
      </c>
      <c r="I9" s="22">
        <f>C9*G9*H9</f>
        <v/>
      </c>
      <c r="J9" s="23">
        <f>F9+I9</f>
        <v/>
      </c>
    </row>
    <row r="10" ht="15.75" customHeight="1" thickBot="1">
      <c r="A10" s="47" t="n"/>
      <c r="B10" s="18" t="inlineStr">
        <is>
          <t>SUBTEN PM</t>
        </is>
      </c>
      <c r="C10" s="19" t="n"/>
      <c r="D10" s="12" t="n">
        <v>44.44</v>
      </c>
      <c r="E10" s="24" t="n">
        <v>8</v>
      </c>
      <c r="F10" s="21">
        <f>C10*D10*E10</f>
        <v/>
      </c>
      <c r="G10" s="12" t="n">
        <v>22.22</v>
      </c>
      <c r="H10" s="25" t="n">
        <v>0</v>
      </c>
      <c r="I10" s="22">
        <f>C10*G10*H10</f>
        <v/>
      </c>
      <c r="J10" s="23">
        <f>F10+I10</f>
        <v/>
      </c>
    </row>
    <row r="11" ht="15.75" customHeight="1" thickBot="1">
      <c r="A11" s="47" t="n"/>
      <c r="B11" s="18" t="inlineStr">
        <is>
          <t>SGT PM</t>
        </is>
      </c>
      <c r="C11" s="19" t="n"/>
      <c r="D11" s="12" t="n">
        <v>41.18</v>
      </c>
      <c r="E11" s="13" t="n">
        <v>8</v>
      </c>
      <c r="F11" s="21">
        <f>C11*D11*E11</f>
        <v/>
      </c>
      <c r="G11" s="12" t="n">
        <v>20.59</v>
      </c>
      <c r="H11" s="15" t="n">
        <v>0</v>
      </c>
      <c r="I11" s="22">
        <f>C11*G11*H11</f>
        <v/>
      </c>
      <c r="J11" s="23">
        <f>F11+I11</f>
        <v/>
      </c>
    </row>
    <row r="12" ht="15.75" customHeight="1" thickBot="1">
      <c r="A12" s="47" t="n"/>
      <c r="B12" s="18" t="inlineStr">
        <is>
          <t>CB PM</t>
        </is>
      </c>
      <c r="C12" s="19" t="n">
        <v>1</v>
      </c>
      <c r="D12" s="12" t="n">
        <v>37.71</v>
      </c>
      <c r="E12" s="13" t="n">
        <v>8</v>
      </c>
      <c r="F12" s="21">
        <f>C12*D12*E12</f>
        <v/>
      </c>
      <c r="G12" s="12" t="n">
        <v>18.86</v>
      </c>
      <c r="H12" s="15" t="n">
        <v>0</v>
      </c>
      <c r="I12" s="22">
        <f>C12*G12*H12</f>
        <v/>
      </c>
      <c r="J12" s="23">
        <f>F12+I12</f>
        <v/>
      </c>
    </row>
    <row r="13" ht="15.75" customHeight="1" thickBot="1">
      <c r="A13" s="47" t="n"/>
      <c r="B13" s="26" t="inlineStr">
        <is>
          <t>SD PM</t>
        </is>
      </c>
      <c r="C13" s="27" t="n">
        <v>3</v>
      </c>
      <c r="D13" s="12" t="n">
        <v>35.39</v>
      </c>
      <c r="E13" s="13" t="n">
        <v>8</v>
      </c>
      <c r="F13" s="28">
        <f>C13*D13*E13</f>
        <v/>
      </c>
      <c r="G13" s="20" t="n">
        <v>17.7</v>
      </c>
      <c r="H13" s="15" t="n">
        <v>0</v>
      </c>
      <c r="I13" s="29">
        <f>C13*G13*H13</f>
        <v/>
      </c>
      <c r="J13" s="30">
        <f>F13+I13</f>
        <v/>
      </c>
    </row>
    <row r="14" ht="15.75" customHeight="1" thickBot="1">
      <c r="A14" s="48" t="n"/>
      <c r="B14" s="32" t="inlineStr">
        <is>
          <t>TOTAL</t>
        </is>
      </c>
      <c r="C14" s="33">
        <f>SUM(C4:C13)</f>
        <v/>
      </c>
      <c r="D14" s="34" t="n"/>
      <c r="E14" s="34">
        <f>SUM(E4:E13)</f>
        <v/>
      </c>
      <c r="F14" s="35">
        <f>SUM(F4:F13)</f>
        <v/>
      </c>
      <c r="G14" s="34" t="n"/>
      <c r="H14" s="34">
        <f>SUM(H4:H13)</f>
        <v/>
      </c>
      <c r="I14" s="35" t="n"/>
      <c r="J14" s="36">
        <f>SUM(J4:J13)</f>
        <v/>
      </c>
    </row>
    <row r="16" ht="15.75" customHeight="1" thickBot="1"/>
    <row r="17" ht="30.75" customHeight="1" thickBot="1">
      <c r="A17" s="37" t="n"/>
      <c r="B17" s="38" t="inlineStr">
        <is>
          <t>QUANTIDADE DE DIAS DA OPERAÇÃO</t>
        </is>
      </c>
      <c r="C17" s="39" t="n">
        <v>9</v>
      </c>
    </row>
    <row r="18" ht="30.75" customHeight="1" thickBot="1">
      <c r="A18" s="37" t="n"/>
      <c r="B18" s="40" t="inlineStr">
        <is>
          <t>VALOR TOTAL DA OPERAÇÃO</t>
        </is>
      </c>
      <c r="C18" s="49" t="n">
        <v>10359.36</v>
      </c>
    </row>
    <row r="20" ht="15.75" customHeight="1" thickBot="1"/>
    <row r="21" ht="15.75" customHeight="1" thickBot="1">
      <c r="A21" s="42" t="inlineStr">
        <is>
          <t>TURNO: 14H ÀS 22H</t>
        </is>
      </c>
      <c r="B21" s="43" t="n"/>
      <c r="C21" s="44" t="n"/>
      <c r="D21" s="45" t="inlineStr">
        <is>
          <t>DEZEMBRO</t>
        </is>
      </c>
      <c r="E21" s="43" t="n"/>
      <c r="F21" s="43" t="n"/>
      <c r="G21" s="43" t="n"/>
      <c r="H21" s="43" t="n"/>
      <c r="I21" s="43" t="n"/>
      <c r="J21" s="44" t="n"/>
    </row>
    <row r="22" ht="15.75" customHeight="1" thickBot="1">
      <c r="A22" s="46" t="inlineStr">
        <is>
          <t>PROJEÇÃO DE CUSTO</t>
        </is>
      </c>
      <c r="B22" s="8" t="inlineStr">
        <is>
          <t>POST/GRAD</t>
        </is>
      </c>
      <c r="C22" s="8" t="inlineStr">
        <is>
          <t>EFETIVO</t>
        </is>
      </c>
      <c r="D22" s="8" t="inlineStr">
        <is>
          <t>VL - HE</t>
        </is>
      </c>
      <c r="E22" s="8" t="inlineStr">
        <is>
          <t>QUANT-HE</t>
        </is>
      </c>
      <c r="F22" s="8" t="inlineStr">
        <is>
          <t>VL/HE - R$</t>
        </is>
      </c>
      <c r="G22" s="8" t="inlineStr">
        <is>
          <t xml:space="preserve">VL - AN </t>
        </is>
      </c>
      <c r="H22" s="8" t="inlineStr">
        <is>
          <t xml:space="preserve">QUANT-AN </t>
        </is>
      </c>
      <c r="I22" s="8" t="inlineStr">
        <is>
          <t>VL/AN - R$</t>
        </is>
      </c>
      <c r="J22" s="8" t="inlineStr">
        <is>
          <t>TOTAL (R$)</t>
        </is>
      </c>
    </row>
    <row r="23" ht="15.75" customHeight="1" thickBot="1">
      <c r="A23" s="47" t="n"/>
      <c r="B23" s="10" t="inlineStr">
        <is>
          <t>CEL PM</t>
        </is>
      </c>
      <c r="C23" s="11" t="n"/>
      <c r="D23" s="12" t="n">
        <v>130.46</v>
      </c>
      <c r="E23" s="13" t="n">
        <v>8</v>
      </c>
      <c r="F23" s="14">
        <f>C23*D23*E23</f>
        <v/>
      </c>
      <c r="G23" s="12" t="n">
        <v>65.23</v>
      </c>
      <c r="H23" s="15" t="n">
        <v>0</v>
      </c>
      <c r="I23" s="16">
        <f>C23*G23*H23</f>
        <v/>
      </c>
      <c r="J23" s="17">
        <f>F23+I23</f>
        <v/>
      </c>
    </row>
    <row r="24" ht="15.75" customHeight="1" thickBot="1">
      <c r="A24" s="47" t="n"/>
      <c r="B24" s="18" t="inlineStr">
        <is>
          <t>TEN CEL PM</t>
        </is>
      </c>
      <c r="C24" s="19" t="n"/>
      <c r="D24" s="20" t="n">
        <v>118.7</v>
      </c>
      <c r="E24" s="13" t="n">
        <v>8</v>
      </c>
      <c r="F24" s="21">
        <f>C24*D24*E24</f>
        <v/>
      </c>
      <c r="G24" s="12" t="n">
        <v>59.35</v>
      </c>
      <c r="H24" s="15" t="n">
        <v>0</v>
      </c>
      <c r="I24" s="22">
        <f>C24*G24*H24</f>
        <v/>
      </c>
      <c r="J24" s="23">
        <f>F24+I24</f>
        <v/>
      </c>
    </row>
    <row r="25" ht="15.75" customHeight="1" thickBot="1">
      <c r="A25" s="47" t="n"/>
      <c r="B25" s="18" t="inlineStr">
        <is>
          <t>MAJ PM</t>
        </is>
      </c>
      <c r="C25" s="19" t="n"/>
      <c r="D25" s="12" t="n">
        <v>109.17</v>
      </c>
      <c r="E25" s="13" t="n">
        <v>8</v>
      </c>
      <c r="F25" s="21">
        <f>C25*D25*E25</f>
        <v/>
      </c>
      <c r="G25" s="12" t="n">
        <v>54.59</v>
      </c>
      <c r="H25" s="15" t="n">
        <v>0</v>
      </c>
      <c r="I25" s="22">
        <f>C25*G25*H25</f>
        <v/>
      </c>
      <c r="J25" s="23">
        <f>F25+I25</f>
        <v/>
      </c>
    </row>
    <row r="26" ht="15.75" customHeight="1" thickBot="1">
      <c r="A26" s="47" t="n"/>
      <c r="B26" s="18" t="inlineStr">
        <is>
          <t>CAP PM</t>
        </is>
      </c>
      <c r="C26" s="19" t="n"/>
      <c r="D26" s="12" t="n">
        <v>89.95</v>
      </c>
      <c r="E26" s="13" t="n">
        <v>8</v>
      </c>
      <c r="F26" s="21">
        <f>C26*D26*E26</f>
        <v/>
      </c>
      <c r="G26" s="12" t="n">
        <v>44.98</v>
      </c>
      <c r="H26" s="15" t="n">
        <v>0</v>
      </c>
      <c r="I26" s="22">
        <f>C26*G26*H26</f>
        <v/>
      </c>
      <c r="J26" s="23">
        <f>F26+I26</f>
        <v/>
      </c>
    </row>
    <row r="27">
      <c r="A27" s="47" t="n"/>
      <c r="B27" s="18" t="inlineStr">
        <is>
          <t>TEN PM</t>
        </is>
      </c>
      <c r="C27" s="19" t="n"/>
      <c r="D27" s="12" t="n">
        <v>75.36</v>
      </c>
      <c r="E27" s="13" t="n">
        <v>8</v>
      </c>
      <c r="F27" s="21">
        <f>C27*D27*E27</f>
        <v/>
      </c>
      <c r="G27" s="12" t="n">
        <v>37.68</v>
      </c>
      <c r="H27" s="15" t="n">
        <v>0</v>
      </c>
      <c r="I27" s="22">
        <f>C27*G27*H27</f>
        <v/>
      </c>
      <c r="J27" s="23">
        <f>F27+I27</f>
        <v/>
      </c>
    </row>
    <row r="28">
      <c r="A28" s="47" t="n"/>
      <c r="B28" s="18" t="inlineStr">
        <is>
          <t>ASP PM</t>
        </is>
      </c>
      <c r="C28" s="19" t="n"/>
      <c r="D28" s="12" t="n">
        <v>45.25</v>
      </c>
      <c r="E28" s="24" t="n">
        <v>8</v>
      </c>
      <c r="F28" s="21">
        <f>C28*D28*E28</f>
        <v/>
      </c>
      <c r="G28" s="12" t="n">
        <v>22.63</v>
      </c>
      <c r="H28" s="25" t="n">
        <v>0</v>
      </c>
      <c r="I28" s="22">
        <f>C28*G28*H28</f>
        <v/>
      </c>
      <c r="J28" s="23">
        <f>F28+I28</f>
        <v/>
      </c>
    </row>
    <row r="29" ht="15.75" customHeight="1" thickBot="1">
      <c r="A29" s="47" t="n"/>
      <c r="B29" s="18" t="inlineStr">
        <is>
          <t>SUBTEN PM</t>
        </is>
      </c>
      <c r="C29" s="19" t="n"/>
      <c r="D29" s="12" t="n">
        <v>44.44</v>
      </c>
      <c r="E29" s="24" t="n">
        <v>8</v>
      </c>
      <c r="F29" s="21">
        <f>C29*D29*E29</f>
        <v/>
      </c>
      <c r="G29" s="12" t="n">
        <v>22.22</v>
      </c>
      <c r="H29" s="25" t="n">
        <v>0</v>
      </c>
      <c r="I29" s="22">
        <f>C29*G29*H29</f>
        <v/>
      </c>
      <c r="J29" s="23">
        <f>F29+I29</f>
        <v/>
      </c>
    </row>
    <row r="30" ht="15.75" customHeight="1" thickBot="1">
      <c r="A30" s="47" t="n"/>
      <c r="B30" s="18" t="inlineStr">
        <is>
          <t>SGT PM</t>
        </is>
      </c>
      <c r="C30" s="19" t="n"/>
      <c r="D30" s="12" t="n">
        <v>41.18</v>
      </c>
      <c r="E30" s="13" t="n">
        <v>8</v>
      </c>
      <c r="F30" s="21">
        <f>C30*D30*E30</f>
        <v/>
      </c>
      <c r="G30" s="12" t="n">
        <v>20.59</v>
      </c>
      <c r="H30" s="15" t="n">
        <v>0</v>
      </c>
      <c r="I30" s="22">
        <f>C30*G30*H30</f>
        <v/>
      </c>
      <c r="J30" s="23">
        <f>F30+I30</f>
        <v/>
      </c>
    </row>
    <row r="31" ht="15.75" customHeight="1" thickBot="1">
      <c r="A31" s="47" t="n"/>
      <c r="B31" s="18" t="inlineStr">
        <is>
          <t>CB PM</t>
        </is>
      </c>
      <c r="C31" s="19" t="n">
        <v>1</v>
      </c>
      <c r="D31" s="12" t="n">
        <v>37.71</v>
      </c>
      <c r="E31" s="13" t="n">
        <v>8</v>
      </c>
      <c r="F31" s="21">
        <f>C31*D31*E31</f>
        <v/>
      </c>
      <c r="G31" s="12" t="n">
        <v>18.86</v>
      </c>
      <c r="H31" s="15" t="n">
        <v>0</v>
      </c>
      <c r="I31" s="22">
        <f>C31*G31*H31</f>
        <v/>
      </c>
      <c r="J31" s="23">
        <f>F31+I31</f>
        <v/>
      </c>
    </row>
    <row r="32" ht="15.75" customHeight="1" thickBot="1">
      <c r="A32" s="47" t="n"/>
      <c r="B32" s="26" t="inlineStr">
        <is>
          <t>SD PM</t>
        </is>
      </c>
      <c r="C32" s="27" t="n">
        <v>3</v>
      </c>
      <c r="D32" s="12" t="n">
        <v>35.39</v>
      </c>
      <c r="E32" s="13" t="n">
        <v>8</v>
      </c>
      <c r="F32" s="28">
        <f>C32*D32*E32</f>
        <v/>
      </c>
      <c r="G32" s="20" t="n">
        <v>17.7</v>
      </c>
      <c r="H32" s="15" t="n">
        <v>0</v>
      </c>
      <c r="I32" s="29">
        <f>C32*G32*H32</f>
        <v/>
      </c>
      <c r="J32" s="30">
        <f>F32+I32</f>
        <v/>
      </c>
    </row>
    <row r="33" ht="15.75" customHeight="1" thickBot="1">
      <c r="A33" s="48" t="n"/>
      <c r="B33" s="32" t="inlineStr">
        <is>
          <t>TOTAL</t>
        </is>
      </c>
      <c r="C33" s="33">
        <f>SUM(C23:C32)</f>
        <v/>
      </c>
      <c r="D33" s="34" t="n"/>
      <c r="E33" s="34">
        <f>SUM(E23:E32)</f>
        <v/>
      </c>
      <c r="F33" s="35">
        <f>SUM(F23:F32)</f>
        <v/>
      </c>
      <c r="G33" s="34" t="n"/>
      <c r="H33" s="34">
        <f>SUM(H23:H32)</f>
        <v/>
      </c>
      <c r="I33" s="35" t="n"/>
      <c r="J33" s="36">
        <f>SUM(J23:J32)</f>
        <v/>
      </c>
    </row>
    <row r="35" ht="15.75" customHeight="1" thickBot="1"/>
    <row r="36" ht="30.75" customHeight="1" thickBot="1">
      <c r="A36" s="37" t="n"/>
      <c r="B36" s="38" t="inlineStr">
        <is>
          <t>QUANTIDADE DE DIAS DA OPERAÇÃO</t>
        </is>
      </c>
      <c r="C36" s="39" t="n">
        <v>9</v>
      </c>
    </row>
    <row r="37" ht="30.75" customHeight="1" thickBot="1">
      <c r="A37" s="37" t="n"/>
      <c r="B37" s="40" t="inlineStr">
        <is>
          <t>VALOR TOTAL DA OPERAÇÃO</t>
        </is>
      </c>
      <c r="C37" s="49" t="n">
        <v>10359.36</v>
      </c>
    </row>
    <row r="39" ht="15.75" customHeight="1" thickBot="1"/>
    <row r="40" ht="15.75" customHeight="1" thickBot="1">
      <c r="A40" s="42" t="inlineStr">
        <is>
          <t>TURNO: 14H ÀS 22H</t>
        </is>
      </c>
      <c r="B40" s="43" t="n"/>
      <c r="C40" s="44" t="n"/>
      <c r="D40" s="45" t="inlineStr">
        <is>
          <t>JANEIRO/2027</t>
        </is>
      </c>
      <c r="E40" s="43" t="n"/>
      <c r="F40" s="43" t="n"/>
      <c r="G40" s="43" t="n"/>
      <c r="H40" s="43" t="n"/>
      <c r="I40" s="43" t="n"/>
      <c r="J40" s="44" t="n"/>
    </row>
    <row r="41" ht="15.75" customHeight="1" thickBot="1">
      <c r="A41" s="46" t="inlineStr">
        <is>
          <t>PROJEÇÃO DE CUSTO</t>
        </is>
      </c>
      <c r="B41" s="8" t="inlineStr">
        <is>
          <t>POST/GRAD</t>
        </is>
      </c>
      <c r="C41" s="8" t="inlineStr">
        <is>
          <t>EFETIVO</t>
        </is>
      </c>
      <c r="D41" s="8" t="inlineStr">
        <is>
          <t>VL - HE</t>
        </is>
      </c>
      <c r="E41" s="8" t="inlineStr">
        <is>
          <t>QUANT-HE</t>
        </is>
      </c>
      <c r="F41" s="8" t="inlineStr">
        <is>
          <t>VL/HE - R$</t>
        </is>
      </c>
      <c r="G41" s="8" t="inlineStr">
        <is>
          <t xml:space="preserve">VL - AN </t>
        </is>
      </c>
      <c r="H41" s="8" t="inlineStr">
        <is>
          <t xml:space="preserve">QUANT-AN </t>
        </is>
      </c>
      <c r="I41" s="8" t="inlineStr">
        <is>
          <t>VL/AN - R$</t>
        </is>
      </c>
      <c r="J41" s="8" t="inlineStr">
        <is>
          <t>TOTAL (R$)</t>
        </is>
      </c>
    </row>
    <row r="42" ht="15.75" customHeight="1" thickBot="1">
      <c r="A42" s="47" t="n"/>
      <c r="B42" s="10" t="inlineStr">
        <is>
          <t>CEL PM</t>
        </is>
      </c>
      <c r="C42" s="11" t="n"/>
      <c r="D42" s="12" t="n">
        <v>130.46</v>
      </c>
      <c r="E42" s="13" t="n">
        <v>8</v>
      </c>
      <c r="F42" s="14">
        <f>C42*D42*E42</f>
        <v/>
      </c>
      <c r="G42" s="12" t="n">
        <v>65.23</v>
      </c>
      <c r="H42" s="15" t="n">
        <v>0</v>
      </c>
      <c r="I42" s="16">
        <f>C42*G42*H42</f>
        <v/>
      </c>
      <c r="J42" s="17">
        <f>F42+I42</f>
        <v/>
      </c>
    </row>
    <row r="43" ht="15.75" customHeight="1" thickBot="1">
      <c r="A43" s="47" t="n"/>
      <c r="B43" s="18" t="inlineStr">
        <is>
          <t>TEN CEL PM</t>
        </is>
      </c>
      <c r="C43" s="19" t="n"/>
      <c r="D43" s="20" t="n">
        <v>118.7</v>
      </c>
      <c r="E43" s="13" t="n">
        <v>8</v>
      </c>
      <c r="F43" s="21">
        <f>C43*D43*E43</f>
        <v/>
      </c>
      <c r="G43" s="12" t="n">
        <v>59.35</v>
      </c>
      <c r="H43" s="15" t="n">
        <v>0</v>
      </c>
      <c r="I43" s="22">
        <f>C43*G43*H43</f>
        <v/>
      </c>
      <c r="J43" s="23">
        <f>F43+I43</f>
        <v/>
      </c>
    </row>
    <row r="44" ht="15.75" customHeight="1" thickBot="1">
      <c r="A44" s="47" t="n"/>
      <c r="B44" s="18" t="inlineStr">
        <is>
          <t>MAJ PM</t>
        </is>
      </c>
      <c r="C44" s="19" t="n"/>
      <c r="D44" s="12" t="n">
        <v>109.17</v>
      </c>
      <c r="E44" s="13" t="n">
        <v>8</v>
      </c>
      <c r="F44" s="21">
        <f>C44*D44*E44</f>
        <v/>
      </c>
      <c r="G44" s="12" t="n">
        <v>54.59</v>
      </c>
      <c r="H44" s="15" t="n">
        <v>0</v>
      </c>
      <c r="I44" s="22">
        <f>C44*G44*H44</f>
        <v/>
      </c>
      <c r="J44" s="23">
        <f>F44+I44</f>
        <v/>
      </c>
    </row>
    <row r="45" ht="15.75" customHeight="1" thickBot="1">
      <c r="A45" s="47" t="n"/>
      <c r="B45" s="18" t="inlineStr">
        <is>
          <t>CAP PM</t>
        </is>
      </c>
      <c r="C45" s="19" t="n"/>
      <c r="D45" s="12" t="n">
        <v>89.95</v>
      </c>
      <c r="E45" s="13" t="n">
        <v>8</v>
      </c>
      <c r="F45" s="21">
        <f>C45*D45*E45</f>
        <v/>
      </c>
      <c r="G45" s="12" t="n">
        <v>44.98</v>
      </c>
      <c r="H45" s="15" t="n">
        <v>0</v>
      </c>
      <c r="I45" s="22">
        <f>C45*G45*H45</f>
        <v/>
      </c>
      <c r="J45" s="23">
        <f>F45+I45</f>
        <v/>
      </c>
    </row>
    <row r="46">
      <c r="A46" s="47" t="n"/>
      <c r="B46" s="18" t="inlineStr">
        <is>
          <t>TEN PM</t>
        </is>
      </c>
      <c r="C46" s="19" t="n"/>
      <c r="D46" s="12" t="n">
        <v>75.36</v>
      </c>
      <c r="E46" s="13" t="n">
        <v>8</v>
      </c>
      <c r="F46" s="21">
        <f>C46*D46*E46</f>
        <v/>
      </c>
      <c r="G46" s="12" t="n">
        <v>37.68</v>
      </c>
      <c r="H46" s="15" t="n">
        <v>0</v>
      </c>
      <c r="I46" s="22">
        <f>C46*G46*H46</f>
        <v/>
      </c>
      <c r="J46" s="23">
        <f>F46+I46</f>
        <v/>
      </c>
    </row>
    <row r="47">
      <c r="A47" s="47" t="n"/>
      <c r="B47" s="18" t="inlineStr">
        <is>
          <t>ASP PM</t>
        </is>
      </c>
      <c r="C47" s="19" t="n"/>
      <c r="D47" s="12" t="n">
        <v>45.25</v>
      </c>
      <c r="E47" s="24" t="n">
        <v>8</v>
      </c>
      <c r="F47" s="21">
        <f>C47*D47*E47</f>
        <v/>
      </c>
      <c r="G47" s="12" t="n">
        <v>22.63</v>
      </c>
      <c r="H47" s="25" t="n">
        <v>0</v>
      </c>
      <c r="I47" s="22">
        <f>C47*G47*H47</f>
        <v/>
      </c>
      <c r="J47" s="23">
        <f>F47+I47</f>
        <v/>
      </c>
    </row>
    <row r="48" ht="15.75" customHeight="1" thickBot="1">
      <c r="A48" s="47" t="n"/>
      <c r="B48" s="18" t="inlineStr">
        <is>
          <t>SUBTEN PM</t>
        </is>
      </c>
      <c r="C48" s="19" t="n"/>
      <c r="D48" s="12" t="n">
        <v>44.44</v>
      </c>
      <c r="E48" s="24" t="n">
        <v>8</v>
      </c>
      <c r="F48" s="21">
        <f>C48*D48*E48</f>
        <v/>
      </c>
      <c r="G48" s="12" t="n">
        <v>22.22</v>
      </c>
      <c r="H48" s="25" t="n">
        <v>0</v>
      </c>
      <c r="I48" s="22">
        <f>C48*G48*H48</f>
        <v/>
      </c>
      <c r="J48" s="23">
        <f>F48+I48</f>
        <v/>
      </c>
    </row>
    <row r="49" ht="15.75" customHeight="1" thickBot="1">
      <c r="A49" s="47" t="n"/>
      <c r="B49" s="18" t="inlineStr">
        <is>
          <t>SGT PM</t>
        </is>
      </c>
      <c r="C49" s="19" t="n"/>
      <c r="D49" s="12" t="n">
        <v>41.18</v>
      </c>
      <c r="E49" s="13" t="n">
        <v>8</v>
      </c>
      <c r="F49" s="21">
        <f>C49*D49*E49</f>
        <v/>
      </c>
      <c r="G49" s="12" t="n">
        <v>20.59</v>
      </c>
      <c r="H49" s="15" t="n">
        <v>0</v>
      </c>
      <c r="I49" s="22">
        <f>C49*G49*H49</f>
        <v/>
      </c>
      <c r="J49" s="23">
        <f>F49+I49</f>
        <v/>
      </c>
    </row>
    <row r="50" ht="15.75" customHeight="1" thickBot="1">
      <c r="A50" s="47" t="n"/>
      <c r="B50" s="18" t="inlineStr">
        <is>
          <t>CB PM</t>
        </is>
      </c>
      <c r="C50" s="19" t="n">
        <v>1</v>
      </c>
      <c r="D50" s="12" t="n">
        <v>37.71</v>
      </c>
      <c r="E50" s="13" t="n">
        <v>8</v>
      </c>
      <c r="F50" s="21">
        <f>C50*D50*E50</f>
        <v/>
      </c>
      <c r="G50" s="12" t="n">
        <v>18.86</v>
      </c>
      <c r="H50" s="15" t="n">
        <v>0</v>
      </c>
      <c r="I50" s="22">
        <f>C50*G50*H50</f>
        <v/>
      </c>
      <c r="J50" s="23">
        <f>F50+I50</f>
        <v/>
      </c>
    </row>
    <row r="51" ht="15.75" customHeight="1" thickBot="1">
      <c r="A51" s="47" t="n"/>
      <c r="B51" s="26" t="inlineStr">
        <is>
          <t>SD PM</t>
        </is>
      </c>
      <c r="C51" s="27" t="n">
        <v>3</v>
      </c>
      <c r="D51" s="12" t="n">
        <v>35.39</v>
      </c>
      <c r="E51" s="13" t="n">
        <v>8</v>
      </c>
      <c r="F51" s="28">
        <f>C51*D51*E51</f>
        <v/>
      </c>
      <c r="G51" s="20" t="n">
        <v>17.7</v>
      </c>
      <c r="H51" s="15" t="n">
        <v>0</v>
      </c>
      <c r="I51" s="29">
        <f>C51*G51*H51</f>
        <v/>
      </c>
      <c r="J51" s="30">
        <f>F51+I51</f>
        <v/>
      </c>
    </row>
    <row r="52" ht="15.75" customHeight="1" thickBot="1">
      <c r="A52" s="48" t="n"/>
      <c r="B52" s="32" t="inlineStr">
        <is>
          <t>TOTAL</t>
        </is>
      </c>
      <c r="C52" s="33">
        <f>SUM(C42:C51)</f>
        <v/>
      </c>
      <c r="D52" s="34" t="n"/>
      <c r="E52" s="34">
        <f>SUM(E42:E51)</f>
        <v/>
      </c>
      <c r="F52" s="35">
        <f>SUM(F42:F51)</f>
        <v/>
      </c>
      <c r="G52" s="34" t="n"/>
      <c r="H52" s="34">
        <f>SUM(H42:H51)</f>
        <v/>
      </c>
      <c r="I52" s="35" t="n"/>
      <c r="J52" s="36">
        <f>SUM(J42:J51)</f>
        <v/>
      </c>
    </row>
    <row r="54" ht="15.75" customHeight="1" thickBot="1"/>
    <row r="55" ht="30.75" customHeight="1" thickBot="1">
      <c r="A55" s="37" t="n"/>
      <c r="B55" s="38" t="inlineStr">
        <is>
          <t>QUANTIDADE DE DIAS DA OPERAÇÃO</t>
        </is>
      </c>
      <c r="C55" s="39" t="n">
        <v>9</v>
      </c>
    </row>
    <row r="56" ht="30.75" customHeight="1" thickBot="1">
      <c r="A56" s="37" t="n"/>
      <c r="B56" s="40" t="inlineStr">
        <is>
          <t>VALOR TOTAL DA OPERAÇÃO</t>
        </is>
      </c>
      <c r="C56" s="49" t="n">
        <v>10359.36</v>
      </c>
    </row>
  </sheetData>
  <mergeCells count="9">
    <mergeCell ref="A41:A52"/>
    <mergeCell ref="D40:J40"/>
    <mergeCell ref="D21:J21"/>
    <mergeCell ref="A40:C40"/>
    <mergeCell ref="A21:C21"/>
    <mergeCell ref="D2:J2"/>
    <mergeCell ref="A22:A33"/>
    <mergeCell ref="A3:A14"/>
    <mergeCell ref="A2:C2"/>
  </mergeCells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2026-07-31T20:13:13Z</dcterms:created>
  <dcterms:modified xmlns:dcterms="http://purl.org/dc/terms/" xmlns:xsi="http://www.w3.org/2001/XMLSchema-instance" xsi:type="dcterms:W3CDTF">2026-10-22T15:29:18Z</dcterms:modified>
  <cp:lastModifiedBy>User</cp:lastModifiedBy>
</cp:coreProperties>
</file>